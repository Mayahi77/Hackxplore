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hirthengines.sharepoint.com/sites/RD/Freigegebene Dokumente/01. Berechnungen/"/>
    </mc:Choice>
  </mc:AlternateContent>
  <xr:revisionPtr revIDLastSave="2" documentId="11_05856A98F4AF1204682F44F16D2CDBA33B23C87E" xr6:coauthVersionLast="47" xr6:coauthVersionMax="47" xr10:uidLastSave="{4056E579-035B-47CE-ABCE-05438A76E903}"/>
  <bookViews>
    <workbookView xWindow="-120" yWindow="-120" windowWidth="38640" windowHeight="15720" activeTab="1" xr2:uid="{00000000-000D-0000-FFFF-FFFF00000000}"/>
  </bookViews>
  <sheets>
    <sheet name="Isentropenexponent" sheetId="1" r:id="rId1"/>
    <sheet name="Schallgeschwindigkeit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7" i="2" l="1"/>
  <c r="D31" i="2"/>
  <c r="A30" i="2" l="1"/>
  <c r="A29" i="2" s="1"/>
  <c r="A28" i="2" s="1"/>
  <c r="A27" i="2" s="1"/>
  <c r="A32" i="2"/>
  <c r="A33" i="2" s="1"/>
  <c r="A34" i="2" s="1"/>
  <c r="A35" i="2" s="1"/>
  <c r="A36" i="2" s="1"/>
  <c r="A37" i="2" s="1"/>
  <c r="F31" i="2"/>
  <c r="C30" i="2"/>
  <c r="C32" i="2"/>
  <c r="F32" i="2" s="1"/>
  <c r="C3" i="2"/>
  <c r="C4" i="2"/>
  <c r="C2" i="2"/>
  <c r="B5" i="2"/>
  <c r="C29" i="2" l="1"/>
  <c r="F30" i="2"/>
  <c r="D29" i="2"/>
  <c r="D32" i="2"/>
  <c r="D30" i="2"/>
  <c r="C33" i="2"/>
  <c r="F33" i="2" s="1"/>
  <c r="C5" i="2"/>
  <c r="D5" i="2" s="1"/>
  <c r="F29" i="2" l="1"/>
  <c r="C28" i="2"/>
  <c r="D33" i="2"/>
  <c r="C34" i="2"/>
  <c r="F34" i="2" s="1"/>
  <c r="C27" i="2" l="1"/>
  <c r="F28" i="2"/>
  <c r="D28" i="2"/>
  <c r="C35" i="2"/>
  <c r="F35" i="2" s="1"/>
  <c r="D34" i="2"/>
  <c r="F27" i="2" l="1"/>
  <c r="D35" i="2"/>
  <c r="C36" i="2"/>
  <c r="F36" i="2" s="1"/>
  <c r="C37" i="2" l="1"/>
  <c r="F37" i="2" s="1"/>
  <c r="D36" i="2"/>
  <c r="D37" i="2" l="1"/>
</calcChain>
</file>

<file path=xl/sharedStrings.xml><?xml version="1.0" encoding="utf-8"?>
<sst xmlns="http://schemas.openxmlformats.org/spreadsheetml/2006/main" count="12" uniqueCount="12">
  <si>
    <t>Temp [°C]</t>
  </si>
  <si>
    <r>
      <t>Co</t>
    </r>
    <r>
      <rPr>
        <vertAlign val="subscript"/>
        <sz val="11"/>
        <color theme="1"/>
        <rFont val="Calibri"/>
        <family val="2"/>
        <scheme val="minor"/>
      </rPr>
      <t>2</t>
    </r>
  </si>
  <si>
    <t>Luft</t>
  </si>
  <si>
    <r>
      <t>N</t>
    </r>
    <r>
      <rPr>
        <vertAlign val="subscript"/>
        <sz val="11"/>
        <color theme="1"/>
        <rFont val="Calibri"/>
        <family val="2"/>
        <scheme val="minor"/>
      </rPr>
      <t>2</t>
    </r>
  </si>
  <si>
    <r>
      <t>O</t>
    </r>
    <r>
      <rPr>
        <vertAlign val="subscript"/>
        <sz val="11"/>
        <color theme="1"/>
        <rFont val="Calibri"/>
        <family val="2"/>
        <scheme val="minor"/>
      </rPr>
      <t>2</t>
    </r>
  </si>
  <si>
    <r>
      <t>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</t>
    </r>
  </si>
  <si>
    <t>Schallgeschwindigkeit im Abgas</t>
  </si>
  <si>
    <t>Isentropen ex.</t>
  </si>
  <si>
    <t>Gaskonstante</t>
  </si>
  <si>
    <t>Temp. In Kelvin</t>
  </si>
  <si>
    <t xml:space="preserve">Gasgeschw. </t>
  </si>
  <si>
    <t>Temp in °C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</si>
</sst>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0" xfId="0" applyFont="1"/>
    <xf numFmtId="0" fontId="4" fillId="0" borderId="0" xfId="0" applyFont="1"/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1800" b="0" i="0" baseline="0">
                <a:effectLst/>
              </a:rPr>
              <a:t>Isentropenexponent  </a:t>
            </a:r>
            <a:r>
              <a:rPr lang="de-DE" sz="1800" b="0" i="1" baseline="0">
                <a:effectLst/>
              </a:rPr>
              <a:t>κ</a:t>
            </a:r>
            <a:r>
              <a:rPr lang="de-DE" sz="1800" b="0" i="0" baseline="0">
                <a:effectLst/>
              </a:rPr>
              <a:t> </a:t>
            </a:r>
            <a:endParaRPr lang="de-DE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Isentropenexponent!$B$1</c:f>
              <c:strCache>
                <c:ptCount val="1"/>
                <c:pt idx="0">
                  <c:v>Co2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1001788908765653"/>
                  <c:y val="-3.053435114503822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B-5139-4854-89F7-D5D257D21F36}"/>
                </c:ext>
              </c:extLst>
            </c:dLbl>
            <c:dLbl>
              <c:idx val="1"/>
              <c:layout>
                <c:manualLayout>
                  <c:x val="-0.10494931425163984"/>
                  <c:y val="-2.03562340966921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5139-4854-89F7-D5D257D21F36}"/>
                </c:ext>
              </c:extLst>
            </c:dLbl>
            <c:dLbl>
              <c:idx val="2"/>
              <c:layout>
                <c:manualLayout>
                  <c:x val="-9.7793679189028024E-2"/>
                  <c:y val="2.714164546225608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5139-4854-89F7-D5D257D21F36}"/>
                </c:ext>
              </c:extLst>
            </c:dLbl>
            <c:dLbl>
              <c:idx val="3"/>
              <c:layout>
                <c:manualLayout>
                  <c:x val="-3.5778175313059032E-2"/>
                  <c:y val="8.481764206955053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5139-4854-89F7-D5D257D21F36}"/>
                </c:ext>
              </c:extLst>
            </c:dLbl>
            <c:dLbl>
              <c:idx val="4"/>
              <c:layout>
                <c:manualLayout>
                  <c:x val="-4.5319022063208113E-2"/>
                  <c:y val="4.410517387616617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A-5139-4854-89F7-D5D257D21F36}"/>
                </c:ext>
              </c:extLst>
            </c:dLbl>
            <c:dLbl>
              <c:idx val="6"/>
              <c:layout>
                <c:manualLayout>
                  <c:x val="-5.9630292188431723E-2"/>
                  <c:y val="3.731976251060220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139-4854-89F7-D5D257D21F3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Isentropenexponent!$A$3:$A$10</c:f>
              <c:numCache>
                <c:formatCode>General</c:formatCode>
                <c:ptCount val="8"/>
                <c:pt idx="0">
                  <c:v>-55</c:v>
                </c:pt>
                <c:pt idx="1">
                  <c:v>0</c:v>
                </c:pt>
                <c:pt idx="2">
                  <c:v>20</c:v>
                </c:pt>
                <c:pt idx="3">
                  <c:v>100</c:v>
                </c:pt>
                <c:pt idx="4">
                  <c:v>400</c:v>
                </c:pt>
                <c:pt idx="5">
                  <c:v>500</c:v>
                </c:pt>
                <c:pt idx="6">
                  <c:v>1000</c:v>
                </c:pt>
                <c:pt idx="7">
                  <c:v>2000</c:v>
                </c:pt>
              </c:numCache>
            </c:numRef>
          </c:xVal>
          <c:yVal>
            <c:numRef>
              <c:f>Isentropenexponent!$B$3:$B$10</c:f>
              <c:numCache>
                <c:formatCode>General</c:formatCode>
                <c:ptCount val="8"/>
                <c:pt idx="0">
                  <c:v>1.35</c:v>
                </c:pt>
                <c:pt idx="1">
                  <c:v>1.31</c:v>
                </c:pt>
                <c:pt idx="2">
                  <c:v>1.3</c:v>
                </c:pt>
                <c:pt idx="3">
                  <c:v>1.2809999999999999</c:v>
                </c:pt>
                <c:pt idx="4">
                  <c:v>1.2350000000000001</c:v>
                </c:pt>
                <c:pt idx="6">
                  <c:v>1.1950000000000001</c:v>
                </c:pt>
                <c:pt idx="7">
                  <c:v>1.1599999999999999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139-4854-89F7-D5D257D21F36}"/>
            </c:ext>
          </c:extLst>
        </c:ser>
        <c:ser>
          <c:idx val="1"/>
          <c:order val="1"/>
          <c:tx>
            <c:strRef>
              <c:f>Isentropenexponent!$C$1</c:f>
              <c:strCache>
                <c:ptCount val="1"/>
                <c:pt idx="0">
                  <c:v>Luft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1"/>
              <c:layout>
                <c:manualLayout>
                  <c:x val="2.3852116875372688E-3"/>
                  <c:y val="-3.053435114503819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5139-4854-89F7-D5D257D21F36}"/>
                </c:ext>
              </c:extLst>
            </c:dLbl>
            <c:dLbl>
              <c:idx val="4"/>
              <c:layout>
                <c:manualLayout>
                  <c:x val="-3.1007751937984496E-2"/>
                  <c:y val="-6.106870229007636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5139-4854-89F7-D5D257D21F36}"/>
                </c:ext>
              </c:extLst>
            </c:dLbl>
            <c:dLbl>
              <c:idx val="6"/>
              <c:layout>
                <c:manualLayout>
                  <c:x val="-1.4311270125223614E-2"/>
                  <c:y val="5.428329092451223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139-4854-89F7-D5D257D21F36}"/>
                </c:ext>
              </c:extLst>
            </c:dLbl>
            <c:dLbl>
              <c:idx val="7"/>
              <c:layout>
                <c:manualLayout>
                  <c:x val="-9.5408467501491637E-3"/>
                  <c:y val="3.392705682782018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5139-4854-89F7-D5D257D21F3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Isentropenexponent!$A$3:$A$10</c:f>
              <c:numCache>
                <c:formatCode>General</c:formatCode>
                <c:ptCount val="8"/>
                <c:pt idx="0">
                  <c:v>-55</c:v>
                </c:pt>
                <c:pt idx="1">
                  <c:v>0</c:v>
                </c:pt>
                <c:pt idx="2">
                  <c:v>20</c:v>
                </c:pt>
                <c:pt idx="3">
                  <c:v>100</c:v>
                </c:pt>
                <c:pt idx="4">
                  <c:v>400</c:v>
                </c:pt>
                <c:pt idx="5">
                  <c:v>500</c:v>
                </c:pt>
                <c:pt idx="6">
                  <c:v>1000</c:v>
                </c:pt>
                <c:pt idx="7">
                  <c:v>2000</c:v>
                </c:pt>
              </c:numCache>
            </c:numRef>
          </c:xVal>
          <c:yVal>
            <c:numRef>
              <c:f>Isentropenexponent!$C$3:$C$10</c:f>
              <c:numCache>
                <c:formatCode>General</c:formatCode>
                <c:ptCount val="8"/>
                <c:pt idx="1">
                  <c:v>1.4</c:v>
                </c:pt>
                <c:pt idx="4">
                  <c:v>1.37</c:v>
                </c:pt>
                <c:pt idx="6">
                  <c:v>1.32</c:v>
                </c:pt>
                <c:pt idx="7">
                  <c:v>1.3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139-4854-89F7-D5D257D21F36}"/>
            </c:ext>
          </c:extLst>
        </c:ser>
        <c:ser>
          <c:idx val="2"/>
          <c:order val="2"/>
          <c:tx>
            <c:strRef>
              <c:f>Isentropenexponent!$D$1</c:f>
              <c:strCache>
                <c:ptCount val="1"/>
                <c:pt idx="0">
                  <c:v>N2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8.1097197376267138E-2"/>
                  <c:y val="4.07124681933842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5139-4854-89F7-D5D257D21F36}"/>
                </c:ext>
              </c:extLst>
            </c:dLbl>
            <c:dLbl>
              <c:idx val="3"/>
              <c:layout>
                <c:manualLayout>
                  <c:x val="2.385211687537225E-3"/>
                  <c:y val="4.071246819338416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5139-4854-89F7-D5D257D21F36}"/>
                </c:ext>
              </c:extLst>
            </c:dLbl>
            <c:dLbl>
              <c:idx val="6"/>
              <c:layout>
                <c:manualLayout>
                  <c:x val="2.1466905187835332E-2"/>
                  <c:y val="-1.357082273112813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5139-4854-89F7-D5D257D21F36}"/>
                </c:ext>
              </c:extLst>
            </c:dLbl>
            <c:dLbl>
              <c:idx val="7"/>
              <c:layout>
                <c:manualLayout>
                  <c:x val="-4.7704233750745376E-3"/>
                  <c:y val="-4.749787955894832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139-4854-89F7-D5D257D21F36}"/>
                </c:ext>
              </c:extLst>
            </c:dLbl>
            <c:dLbl>
              <c:idx val="8"/>
              <c:layout>
                <c:manualLayout>
                  <c:x val="-2.385211687537444E-3"/>
                  <c:y val="-2.374893977947419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139-4854-89F7-D5D257D21F3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Isentropenexponent!$A$2:$A$10</c:f>
              <c:numCache>
                <c:formatCode>General</c:formatCode>
                <c:ptCount val="9"/>
                <c:pt idx="0">
                  <c:v>-180</c:v>
                </c:pt>
                <c:pt idx="1">
                  <c:v>-55</c:v>
                </c:pt>
                <c:pt idx="2">
                  <c:v>0</c:v>
                </c:pt>
                <c:pt idx="3">
                  <c:v>20</c:v>
                </c:pt>
                <c:pt idx="4">
                  <c:v>100</c:v>
                </c:pt>
                <c:pt idx="5">
                  <c:v>400</c:v>
                </c:pt>
                <c:pt idx="6">
                  <c:v>500</c:v>
                </c:pt>
                <c:pt idx="7">
                  <c:v>1000</c:v>
                </c:pt>
                <c:pt idx="8">
                  <c:v>2000</c:v>
                </c:pt>
              </c:numCache>
            </c:numRef>
          </c:xVal>
          <c:yVal>
            <c:numRef>
              <c:f>Isentropenexponent!$D$2:$D$10</c:f>
              <c:numCache>
                <c:formatCode>General</c:formatCode>
                <c:ptCount val="9"/>
                <c:pt idx="0">
                  <c:v>1.43</c:v>
                </c:pt>
                <c:pt idx="3">
                  <c:v>1.4</c:v>
                </c:pt>
                <c:pt idx="6">
                  <c:v>1.36</c:v>
                </c:pt>
                <c:pt idx="7">
                  <c:v>1.32</c:v>
                </c:pt>
                <c:pt idx="8">
                  <c:v>1.3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5139-4854-89F7-D5D257D21F36}"/>
            </c:ext>
          </c:extLst>
        </c:ser>
        <c:ser>
          <c:idx val="3"/>
          <c:order val="3"/>
          <c:tx>
            <c:strRef>
              <c:f>Isentropenexponent!$E$1</c:f>
              <c:strCache>
                <c:ptCount val="1"/>
                <c:pt idx="0">
                  <c:v>O2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8.5867620751341675E-2"/>
                  <c:y val="3.3927056827819874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5139-4854-89F7-D5D257D21F36}"/>
                </c:ext>
              </c:extLst>
            </c:dLbl>
            <c:dLbl>
              <c:idx val="3"/>
              <c:layout>
                <c:manualLayout>
                  <c:x val="4.7704233750745376E-3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5139-4854-89F7-D5D257D21F36}"/>
                </c:ext>
              </c:extLst>
            </c:dLbl>
            <c:dLbl>
              <c:idx val="5"/>
              <c:layout>
                <c:manualLayout>
                  <c:x val="-7.1556350626118068E-3"/>
                  <c:y val="4.071246819338422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5139-4854-89F7-D5D257D21F36}"/>
                </c:ext>
              </c:extLst>
            </c:dLbl>
            <c:dLbl>
              <c:idx val="7"/>
              <c:layout>
                <c:manualLayout>
                  <c:x val="-8.1097197376267097E-2"/>
                  <c:y val="3.392705682782018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5139-4854-89F7-D5D257D21F36}"/>
                </c:ext>
              </c:extLst>
            </c:dLbl>
            <c:dLbl>
              <c:idx val="8"/>
              <c:layout>
                <c:manualLayout>
                  <c:x val="-6.440071556350635E-2"/>
                  <c:y val="4.071246819338416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5139-4854-89F7-D5D257D21F3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C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Isentropenexponent!$A$2:$A$10</c:f>
              <c:numCache>
                <c:formatCode>General</c:formatCode>
                <c:ptCount val="9"/>
                <c:pt idx="0">
                  <c:v>-180</c:v>
                </c:pt>
                <c:pt idx="1">
                  <c:v>-55</c:v>
                </c:pt>
                <c:pt idx="2">
                  <c:v>0</c:v>
                </c:pt>
                <c:pt idx="3">
                  <c:v>20</c:v>
                </c:pt>
                <c:pt idx="4">
                  <c:v>100</c:v>
                </c:pt>
                <c:pt idx="5">
                  <c:v>400</c:v>
                </c:pt>
                <c:pt idx="6">
                  <c:v>500</c:v>
                </c:pt>
                <c:pt idx="7">
                  <c:v>1000</c:v>
                </c:pt>
                <c:pt idx="8">
                  <c:v>2000</c:v>
                </c:pt>
              </c:numCache>
            </c:numRef>
          </c:xVal>
          <c:yVal>
            <c:numRef>
              <c:f>Isentropenexponent!$E$2:$E$10</c:f>
              <c:numCache>
                <c:formatCode>General</c:formatCode>
                <c:ptCount val="9"/>
                <c:pt idx="0">
                  <c:v>1.44</c:v>
                </c:pt>
                <c:pt idx="3">
                  <c:v>1.4</c:v>
                </c:pt>
                <c:pt idx="5">
                  <c:v>1.34</c:v>
                </c:pt>
                <c:pt idx="7">
                  <c:v>1.31</c:v>
                </c:pt>
                <c:pt idx="8">
                  <c:v>1.28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5139-4854-89F7-D5D257D21F36}"/>
            </c:ext>
          </c:extLst>
        </c:ser>
        <c:ser>
          <c:idx val="4"/>
          <c:order val="4"/>
          <c:tx>
            <c:strRef>
              <c:f>Isentropenexponent!$F$1</c:f>
              <c:strCache>
                <c:ptCount val="1"/>
                <c:pt idx="0">
                  <c:v>H2O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dLbl>
              <c:idx val="4"/>
              <c:layout>
                <c:manualLayout>
                  <c:x val="-2.3852116875373126E-3"/>
                  <c:y val="1.35708227311280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F-5139-4854-89F7-D5D257D21F36}"/>
                </c:ext>
              </c:extLst>
            </c:dLbl>
            <c:dLbl>
              <c:idx val="6"/>
              <c:layout>
                <c:manualLayout>
                  <c:x val="-6.9171138938580803E-2"/>
                  <c:y val="-6.7854113655640997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E-5139-4854-89F7-D5D257D21F36}"/>
                </c:ext>
              </c:extLst>
            </c:dLbl>
            <c:dLbl>
              <c:idx val="7"/>
              <c:layout>
                <c:manualLayout>
                  <c:x val="7.1556350626118068E-3"/>
                  <c:y val="-2.714164546225614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C-5139-4854-89F7-D5D257D21F3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5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Isentropenexponent!$A$2:$A$10</c:f>
              <c:numCache>
                <c:formatCode>General</c:formatCode>
                <c:ptCount val="9"/>
                <c:pt idx="0">
                  <c:v>-180</c:v>
                </c:pt>
                <c:pt idx="1">
                  <c:v>-55</c:v>
                </c:pt>
                <c:pt idx="2">
                  <c:v>0</c:v>
                </c:pt>
                <c:pt idx="3">
                  <c:v>20</c:v>
                </c:pt>
                <c:pt idx="4">
                  <c:v>100</c:v>
                </c:pt>
                <c:pt idx="5">
                  <c:v>400</c:v>
                </c:pt>
                <c:pt idx="6">
                  <c:v>500</c:v>
                </c:pt>
                <c:pt idx="7">
                  <c:v>1000</c:v>
                </c:pt>
                <c:pt idx="8">
                  <c:v>2000</c:v>
                </c:pt>
              </c:numCache>
            </c:numRef>
          </c:xVal>
          <c:yVal>
            <c:numRef>
              <c:f>Isentropenexponent!$F$2:$F$10</c:f>
              <c:numCache>
                <c:formatCode>General</c:formatCode>
                <c:ptCount val="9"/>
                <c:pt idx="4">
                  <c:v>1.33</c:v>
                </c:pt>
                <c:pt idx="6">
                  <c:v>1.28</c:v>
                </c:pt>
                <c:pt idx="7">
                  <c:v>1.23</c:v>
                </c:pt>
                <c:pt idx="8">
                  <c:v>1.19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9-5139-4854-89F7-D5D257D21F36}"/>
            </c:ext>
          </c:extLst>
        </c:ser>
        <c:dLbls>
          <c:dLblPos val="r"/>
          <c:showLegendKey val="0"/>
          <c:showVal val="1"/>
          <c:showCatName val="0"/>
          <c:showSerName val="0"/>
          <c:showPercent val="0"/>
          <c:showBubbleSize val="0"/>
        </c:dLbls>
        <c:axId val="418975416"/>
        <c:axId val="418978040"/>
      </c:scatterChart>
      <c:valAx>
        <c:axId val="418975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Temperatur [°C]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8978040"/>
        <c:crosses val="autoZero"/>
        <c:crossBetween val="midCat"/>
      </c:valAx>
      <c:valAx>
        <c:axId val="418978040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000" b="0" i="0" u="none" strike="noStrike" baseline="0">
                    <a:effectLst/>
                  </a:rPr>
                  <a:t>Isentropenexponent  </a:t>
                </a:r>
                <a:r>
                  <a:rPr lang="de-DE" sz="1000" b="0" i="1" u="none" strike="noStrike" baseline="0">
                    <a:effectLst/>
                  </a:rPr>
                  <a:t>κ</a:t>
                </a:r>
                <a:r>
                  <a:rPr lang="de-DE" sz="1000" b="0" i="0" u="none" strike="noStrike" baseline="0">
                    <a:effectLst/>
                  </a:rPr>
                  <a:t> </a:t>
                </a:r>
                <a:endParaRPr lang="de-D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8975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Schallgeschwindigkeit im Abgas von 300°C - 800°C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Schallgeschwindigkeit!$A$9</c:f>
              <c:strCache>
                <c:ptCount val="1"/>
                <c:pt idx="0">
                  <c:v>Schallgeschwindigkeit im Abgas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1.238615747747613E-2"/>
                  <c:y val="3.599787980991348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200C-46D9-81E2-F1E57E424D41}"/>
                </c:ext>
              </c:extLst>
            </c:dLbl>
            <c:dLbl>
              <c:idx val="1"/>
              <c:layout>
                <c:manualLayout>
                  <c:x val="2.2707955375372905E-2"/>
                  <c:y val="3.999764423323721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00C-46D9-81E2-F1E57E424D41}"/>
                </c:ext>
              </c:extLst>
            </c:dLbl>
            <c:dLbl>
              <c:idx val="2"/>
              <c:layout>
                <c:manualLayout>
                  <c:x val="1.651487663663484E-2"/>
                  <c:y val="2.399858653994237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00C-46D9-81E2-F1E57E424D41}"/>
                </c:ext>
              </c:extLst>
            </c:dLbl>
            <c:dLbl>
              <c:idx val="3"/>
              <c:layout>
                <c:manualLayout>
                  <c:x val="2.064359579579355E-2"/>
                  <c:y val="3.59978798099135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00C-46D9-81E2-F1E57E424D41}"/>
                </c:ext>
              </c:extLst>
            </c:dLbl>
            <c:dLbl>
              <c:idx val="4"/>
              <c:layout>
                <c:manualLayout>
                  <c:x val="1.651487663663484E-2"/>
                  <c:y val="2.399858653994229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00C-46D9-81E2-F1E57E424D41}"/>
                </c:ext>
              </c:extLst>
            </c:dLbl>
            <c:dLbl>
              <c:idx val="5"/>
              <c:layout>
                <c:manualLayout>
                  <c:x val="1.8579236216214195E-2"/>
                  <c:y val="2.399858653994237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00C-46D9-81E2-F1E57E424D41}"/>
                </c:ext>
              </c:extLst>
            </c:dLbl>
            <c:dLbl>
              <c:idx val="6"/>
              <c:layout>
                <c:manualLayout>
                  <c:x val="2.064359579579355E-2"/>
                  <c:y val="2.79983509632661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00C-46D9-81E2-F1E57E424D41}"/>
                </c:ext>
              </c:extLst>
            </c:dLbl>
            <c:dLbl>
              <c:idx val="7"/>
              <c:layout>
                <c:manualLayout>
                  <c:x val="1.238615747747613E-2"/>
                  <c:y val="2.399858653994237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00C-46D9-81E2-F1E57E424D41}"/>
                </c:ext>
              </c:extLst>
            </c:dLbl>
            <c:dLbl>
              <c:idx val="8"/>
              <c:layout>
                <c:manualLayout>
                  <c:x val="1.8579236216214195E-2"/>
                  <c:y val="2.799835096326606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00C-46D9-81E2-F1E57E424D41}"/>
                </c:ext>
              </c:extLst>
            </c:dLbl>
            <c:dLbl>
              <c:idx val="9"/>
              <c:layout>
                <c:manualLayout>
                  <c:x val="1.4450517057055485E-2"/>
                  <c:y val="2.79983509632661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00C-46D9-81E2-F1E57E424D4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Schallgeschwindigkeit!$F$27:$F$37</c:f>
              <c:numCache>
                <c:formatCode>General</c:formatCode>
                <c:ptCount val="11"/>
                <c:pt idx="0">
                  <c:v>300</c:v>
                </c:pt>
                <c:pt idx="1">
                  <c:v>350</c:v>
                </c:pt>
                <c:pt idx="2">
                  <c:v>400</c:v>
                </c:pt>
                <c:pt idx="3">
                  <c:v>450</c:v>
                </c:pt>
                <c:pt idx="4">
                  <c:v>500</c:v>
                </c:pt>
                <c:pt idx="5">
                  <c:v>550</c:v>
                </c:pt>
                <c:pt idx="6">
                  <c:v>600</c:v>
                </c:pt>
                <c:pt idx="7">
                  <c:v>650</c:v>
                </c:pt>
                <c:pt idx="8">
                  <c:v>700</c:v>
                </c:pt>
                <c:pt idx="9">
                  <c:v>750</c:v>
                </c:pt>
                <c:pt idx="10">
                  <c:v>800.00000000000011</c:v>
                </c:pt>
              </c:numCache>
            </c:numRef>
          </c:xVal>
          <c:yVal>
            <c:numRef>
              <c:f>Schallgeschwindigkeit!$D$27:$D$37</c:f>
              <c:numCache>
                <c:formatCode>0.0</c:formatCode>
                <c:ptCount val="11"/>
                <c:pt idx="0">
                  <c:v>474.36212288925424</c:v>
                </c:pt>
                <c:pt idx="1">
                  <c:v>493.70100837652734</c:v>
                </c:pt>
                <c:pt idx="2">
                  <c:v>512.1680463597861</c:v>
                </c:pt>
                <c:pt idx="3">
                  <c:v>529.85440429612356</c:v>
                </c:pt>
                <c:pt idx="4">
                  <c:v>546.83583623606819</c:v>
                </c:pt>
                <c:pt idx="5">
                  <c:v>563.1761126255268</c:v>
                </c:pt>
                <c:pt idx="6">
                  <c:v>578.92952582503517</c:v>
                </c:pt>
                <c:pt idx="7">
                  <c:v>594.14275886524115</c:v>
                </c:pt>
                <c:pt idx="8">
                  <c:v>608.856304847047</c:v>
                </c:pt>
                <c:pt idx="9">
                  <c:v>623.10556247878276</c:v>
                </c:pt>
                <c:pt idx="10">
                  <c:v>636.92169379916731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00C-46D9-81E2-F1E57E424D41}"/>
            </c:ext>
          </c:extLst>
        </c:ser>
        <c:dLbls>
          <c:dLblPos val="r"/>
          <c:showLegendKey val="0"/>
          <c:showVal val="1"/>
          <c:showCatName val="0"/>
          <c:showSerName val="0"/>
          <c:showPercent val="0"/>
          <c:showBubbleSize val="0"/>
        </c:dLbls>
        <c:axId val="569448792"/>
        <c:axId val="569444200"/>
      </c:scatterChart>
      <c:valAx>
        <c:axId val="569448792"/>
        <c:scaling>
          <c:orientation val="minMax"/>
          <c:max val="800"/>
          <c:min val="3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Temperatur in °C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9444200"/>
        <c:crosses val="autoZero"/>
        <c:crossBetween val="midCat"/>
      </c:valAx>
      <c:valAx>
        <c:axId val="569444200"/>
        <c:scaling>
          <c:orientation val="minMax"/>
          <c:min val="4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Schallgeschwindigkeit m/s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9448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693859</xdr:colOff>
      <xdr:row>11</xdr:row>
      <xdr:rowOff>189768</xdr:rowOff>
    </xdr:from>
    <xdr:to>
      <xdr:col>7</xdr:col>
      <xdr:colOff>684334</xdr:colOff>
      <xdr:row>31</xdr:row>
      <xdr:rowOff>123093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9</xdr:row>
      <xdr:rowOff>88446</xdr:rowOff>
    </xdr:from>
    <xdr:to>
      <xdr:col>8</xdr:col>
      <xdr:colOff>94129</xdr:colOff>
      <xdr:row>25</xdr:row>
      <xdr:rowOff>50987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zoomScale="130" zoomScaleNormal="130" workbookViewId="0">
      <selection activeCell="H7" sqref="H7"/>
    </sheetView>
  </sheetViews>
  <sheetFormatPr baseColWidth="10" defaultColWidth="11.42578125" defaultRowHeight="15" x14ac:dyDescent="0.25"/>
  <sheetData>
    <row r="1" spans="1:6" ht="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-180</v>
      </c>
      <c r="D2">
        <v>1.43</v>
      </c>
      <c r="E2">
        <v>1.44</v>
      </c>
    </row>
    <row r="3" spans="1:6" x14ac:dyDescent="0.25">
      <c r="A3">
        <v>-55</v>
      </c>
      <c r="B3">
        <v>1.35</v>
      </c>
    </row>
    <row r="4" spans="1:6" x14ac:dyDescent="0.25">
      <c r="A4">
        <v>0</v>
      </c>
      <c r="B4">
        <v>1.31</v>
      </c>
      <c r="C4">
        <v>1.4</v>
      </c>
    </row>
    <row r="5" spans="1:6" x14ac:dyDescent="0.25">
      <c r="A5">
        <v>20</v>
      </c>
      <c r="B5">
        <v>1.3</v>
      </c>
      <c r="D5">
        <v>1.4</v>
      </c>
      <c r="E5">
        <v>1.4</v>
      </c>
    </row>
    <row r="6" spans="1:6" x14ac:dyDescent="0.25">
      <c r="A6">
        <v>100</v>
      </c>
      <c r="B6">
        <v>1.2809999999999999</v>
      </c>
      <c r="F6">
        <v>1.33</v>
      </c>
    </row>
    <row r="7" spans="1:6" x14ac:dyDescent="0.25">
      <c r="A7">
        <v>400</v>
      </c>
      <c r="B7">
        <v>1.2350000000000001</v>
      </c>
      <c r="C7">
        <v>1.37</v>
      </c>
      <c r="E7">
        <v>1.34</v>
      </c>
    </row>
    <row r="8" spans="1:6" x14ac:dyDescent="0.25">
      <c r="A8">
        <v>500</v>
      </c>
      <c r="D8">
        <v>1.36</v>
      </c>
      <c r="F8">
        <v>1.28</v>
      </c>
    </row>
    <row r="9" spans="1:6" x14ac:dyDescent="0.25">
      <c r="A9">
        <v>1000</v>
      </c>
      <c r="B9">
        <v>1.1950000000000001</v>
      </c>
      <c r="C9">
        <v>1.32</v>
      </c>
      <c r="D9">
        <v>1.32</v>
      </c>
      <c r="E9">
        <v>1.31</v>
      </c>
      <c r="F9">
        <v>1.23</v>
      </c>
    </row>
    <row r="10" spans="1:6" x14ac:dyDescent="0.25">
      <c r="A10">
        <v>2000</v>
      </c>
      <c r="B10">
        <v>1.1599999999999999</v>
      </c>
      <c r="C10">
        <v>1.3</v>
      </c>
      <c r="D10">
        <v>1.3</v>
      </c>
      <c r="E10">
        <v>1.28</v>
      </c>
      <c r="F10">
        <v>1.19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42"/>
  <sheetViews>
    <sheetView tabSelected="1" zoomScaleNormal="100" workbookViewId="0">
      <selection activeCell="D29" sqref="D29"/>
    </sheetView>
  </sheetViews>
  <sheetFormatPr baseColWidth="10" defaultColWidth="11.42578125" defaultRowHeight="15" x14ac:dyDescent="0.25"/>
  <cols>
    <col min="1" max="2" width="14.42578125" customWidth="1"/>
    <col min="3" max="3" width="14.85546875" customWidth="1"/>
  </cols>
  <sheetData>
    <row r="2" spans="1:4" x14ac:dyDescent="0.25">
      <c r="A2">
        <v>296.8</v>
      </c>
      <c r="B2">
        <v>70</v>
      </c>
      <c r="C2">
        <f>A2*B2</f>
        <v>20776</v>
      </c>
    </row>
    <row r="3" spans="1:4" x14ac:dyDescent="0.25">
      <c r="A3">
        <v>188.9</v>
      </c>
      <c r="B3">
        <v>20</v>
      </c>
      <c r="C3">
        <f t="shared" ref="C3:C4" si="0">A3*B3</f>
        <v>3778</v>
      </c>
    </row>
    <row r="4" spans="1:4" x14ac:dyDescent="0.25">
      <c r="A4">
        <v>461.4</v>
      </c>
      <c r="B4">
        <v>10</v>
      </c>
      <c r="C4">
        <f t="shared" si="0"/>
        <v>4614</v>
      </c>
    </row>
    <row r="5" spans="1:4" x14ac:dyDescent="0.25">
      <c r="B5">
        <f>SUM(B2:B4)</f>
        <v>100</v>
      </c>
      <c r="C5">
        <f>SUM(C2:C4)</f>
        <v>29168</v>
      </c>
      <c r="D5">
        <f>C5/100</f>
        <v>291.68</v>
      </c>
    </row>
    <row r="9" spans="1:4" x14ac:dyDescent="0.25">
      <c r="A9" t="s">
        <v>6</v>
      </c>
    </row>
    <row r="11" spans="1:4" ht="15.75" x14ac:dyDescent="0.25">
      <c r="A11" s="1"/>
      <c r="B11" s="1"/>
    </row>
    <row r="12" spans="1:4" ht="15.75" x14ac:dyDescent="0.25">
      <c r="A12" s="1"/>
      <c r="B12" s="1"/>
    </row>
    <row r="13" spans="1:4" ht="15.75" x14ac:dyDescent="0.25">
      <c r="A13" s="1"/>
      <c r="B13" s="1"/>
    </row>
    <row r="14" spans="1:4" ht="15.75" x14ac:dyDescent="0.25">
      <c r="A14" s="1"/>
      <c r="B14" s="1"/>
    </row>
    <row r="15" spans="1:4" ht="15.75" x14ac:dyDescent="0.25">
      <c r="A15" s="1"/>
      <c r="B15" s="1"/>
    </row>
    <row r="16" spans="1:4" ht="15.75" x14ac:dyDescent="0.25">
      <c r="A16" s="1"/>
      <c r="B16" s="1"/>
    </row>
    <row r="17" spans="1:6" ht="15.75" x14ac:dyDescent="0.25">
      <c r="A17" s="1"/>
      <c r="B17" s="1"/>
    </row>
    <row r="18" spans="1:6" ht="15.75" x14ac:dyDescent="0.25">
      <c r="A18" s="1"/>
      <c r="B18" s="1"/>
    </row>
    <row r="19" spans="1:6" ht="15.75" x14ac:dyDescent="0.25">
      <c r="A19" s="1"/>
      <c r="B19" s="1"/>
    </row>
    <row r="20" spans="1:6" ht="15.75" x14ac:dyDescent="0.25">
      <c r="A20" s="1"/>
      <c r="B20" s="1"/>
    </row>
    <row r="21" spans="1:6" ht="15.75" x14ac:dyDescent="0.25">
      <c r="A21" s="1"/>
      <c r="B21" s="1"/>
    </row>
    <row r="22" spans="1:6" ht="15.75" x14ac:dyDescent="0.25">
      <c r="A22" s="1"/>
      <c r="B22" s="1"/>
    </row>
    <row r="23" spans="1:6" ht="15.75" x14ac:dyDescent="0.25">
      <c r="A23" s="1"/>
      <c r="B23" s="1"/>
    </row>
    <row r="24" spans="1:6" ht="15.75" x14ac:dyDescent="0.25">
      <c r="A24" s="1"/>
      <c r="B24" s="1"/>
    </row>
    <row r="25" spans="1:6" ht="15.75" x14ac:dyDescent="0.25">
      <c r="A25" s="1"/>
      <c r="B25" s="1"/>
    </row>
    <row r="26" spans="1:6" ht="15.75" x14ac:dyDescent="0.25">
      <c r="A26" s="1" t="s">
        <v>7</v>
      </c>
      <c r="B26" s="1" t="s">
        <v>8</v>
      </c>
      <c r="C26" t="s">
        <v>9</v>
      </c>
      <c r="D26" t="s">
        <v>10</v>
      </c>
      <c r="F26" t="s">
        <v>11</v>
      </c>
    </row>
    <row r="27" spans="1:6" ht="15.75" x14ac:dyDescent="0.25">
      <c r="A27" s="1">
        <f t="shared" ref="A27:A29" si="1">A28+0.005</f>
        <v>1.3459999999999996</v>
      </c>
      <c r="B27" s="1">
        <v>291.68</v>
      </c>
      <c r="C27">
        <f t="shared" ref="C27:C28" si="2">C28-50</f>
        <v>573.15</v>
      </c>
      <c r="D27" s="4">
        <f>SQRT(C27*B27*A27)</f>
        <v>474.36212288925424</v>
      </c>
      <c r="F27">
        <f>C27-273.15</f>
        <v>300</v>
      </c>
    </row>
    <row r="28" spans="1:6" ht="15.75" x14ac:dyDescent="0.25">
      <c r="A28" s="1">
        <f t="shared" si="1"/>
        <v>1.3409999999999997</v>
      </c>
      <c r="B28" s="1">
        <v>291.68</v>
      </c>
      <c r="C28">
        <f t="shared" si="2"/>
        <v>623.15</v>
      </c>
      <c r="D28" s="4">
        <f t="shared" ref="D28:D37" si="3">SQRT(C28*B28*A28)</f>
        <v>493.70100837652734</v>
      </c>
      <c r="F28">
        <f t="shared" ref="F28:F37" si="4">C28-273.15</f>
        <v>350</v>
      </c>
    </row>
    <row r="29" spans="1:6" ht="15.75" x14ac:dyDescent="0.25">
      <c r="A29" s="1">
        <f t="shared" si="1"/>
        <v>1.3359999999999999</v>
      </c>
      <c r="B29" s="1">
        <v>291.68</v>
      </c>
      <c r="C29">
        <f>C30-50</f>
        <v>673.15</v>
      </c>
      <c r="D29" s="4">
        <f t="shared" si="3"/>
        <v>512.1680463597861</v>
      </c>
      <c r="F29">
        <f t="shared" si="4"/>
        <v>400</v>
      </c>
    </row>
    <row r="30" spans="1:6" ht="15.75" x14ac:dyDescent="0.25">
      <c r="A30" s="1">
        <f>A31+0.005</f>
        <v>1.331</v>
      </c>
      <c r="B30" s="1">
        <v>291.68</v>
      </c>
      <c r="C30">
        <f>C31-50</f>
        <v>723.15</v>
      </c>
      <c r="D30" s="4">
        <f t="shared" si="3"/>
        <v>529.85440429612356</v>
      </c>
      <c r="F30">
        <f t="shared" si="4"/>
        <v>450</v>
      </c>
    </row>
    <row r="31" spans="1:6" ht="15.75" x14ac:dyDescent="0.25">
      <c r="A31" s="2">
        <v>1.3260000000000001</v>
      </c>
      <c r="B31" s="2">
        <v>291.68</v>
      </c>
      <c r="C31" s="3">
        <v>773.15</v>
      </c>
      <c r="D31" s="5">
        <f>SQRT(C31*B31*A31)</f>
        <v>546.83583623606819</v>
      </c>
      <c r="F31">
        <f t="shared" si="4"/>
        <v>500</v>
      </c>
    </row>
    <row r="32" spans="1:6" ht="15.75" x14ac:dyDescent="0.25">
      <c r="A32" s="1">
        <f>A31-0.005</f>
        <v>1.3210000000000002</v>
      </c>
      <c r="B32" s="1">
        <v>291.68</v>
      </c>
      <c r="C32">
        <f>C31+50</f>
        <v>823.15</v>
      </c>
      <c r="D32" s="4">
        <f t="shared" si="3"/>
        <v>563.1761126255268</v>
      </c>
      <c r="F32">
        <f t="shared" si="4"/>
        <v>550</v>
      </c>
    </row>
    <row r="33" spans="1:6" ht="15.75" x14ac:dyDescent="0.25">
      <c r="A33" s="1">
        <f t="shared" ref="A33:A37" si="5">A32-0.005</f>
        <v>1.3160000000000003</v>
      </c>
      <c r="B33" s="1">
        <v>291.68</v>
      </c>
      <c r="C33">
        <f t="shared" ref="C33:C35" si="6">C32+50</f>
        <v>873.15</v>
      </c>
      <c r="D33" s="4">
        <f t="shared" si="3"/>
        <v>578.92952582503517</v>
      </c>
      <c r="F33">
        <f t="shared" si="4"/>
        <v>600</v>
      </c>
    </row>
    <row r="34" spans="1:6" ht="15.75" x14ac:dyDescent="0.25">
      <c r="A34" s="1">
        <f t="shared" si="5"/>
        <v>1.3110000000000004</v>
      </c>
      <c r="B34" s="1">
        <v>291.68</v>
      </c>
      <c r="C34">
        <f t="shared" si="6"/>
        <v>923.15</v>
      </c>
      <c r="D34" s="4">
        <f t="shared" si="3"/>
        <v>594.14275886524115</v>
      </c>
      <c r="F34">
        <f t="shared" si="4"/>
        <v>650</v>
      </c>
    </row>
    <row r="35" spans="1:6" ht="15.75" x14ac:dyDescent="0.25">
      <c r="A35" s="1">
        <f t="shared" si="5"/>
        <v>1.3060000000000005</v>
      </c>
      <c r="B35" s="1">
        <v>291.68</v>
      </c>
      <c r="C35">
        <f t="shared" si="6"/>
        <v>973.15</v>
      </c>
      <c r="D35" s="4">
        <f t="shared" si="3"/>
        <v>608.856304847047</v>
      </c>
      <c r="F35">
        <f t="shared" si="4"/>
        <v>700</v>
      </c>
    </row>
    <row r="36" spans="1:6" ht="15.75" x14ac:dyDescent="0.25">
      <c r="A36" s="1">
        <f t="shared" si="5"/>
        <v>1.3010000000000006</v>
      </c>
      <c r="B36" s="1">
        <v>291.68</v>
      </c>
      <c r="C36">
        <f t="shared" ref="C36:C37" si="7">C35+50</f>
        <v>1023.15</v>
      </c>
      <c r="D36" s="4">
        <f t="shared" si="3"/>
        <v>623.10556247878276</v>
      </c>
      <c r="F36">
        <f t="shared" si="4"/>
        <v>750</v>
      </c>
    </row>
    <row r="37" spans="1:6" ht="15.75" x14ac:dyDescent="0.25">
      <c r="A37" s="1">
        <f t="shared" si="5"/>
        <v>1.2960000000000007</v>
      </c>
      <c r="B37" s="1">
        <v>291.68</v>
      </c>
      <c r="C37">
        <f t="shared" si="7"/>
        <v>1073.1500000000001</v>
      </c>
      <c r="D37" s="4">
        <f t="shared" si="3"/>
        <v>636.92169379916731</v>
      </c>
      <c r="F37">
        <f t="shared" si="4"/>
        <v>800.00000000000011</v>
      </c>
    </row>
    <row r="38" spans="1:6" ht="15.75" x14ac:dyDescent="0.25">
      <c r="A38" s="1"/>
      <c r="B38" s="1"/>
    </row>
    <row r="39" spans="1:6" ht="15.75" x14ac:dyDescent="0.25">
      <c r="A39" s="1"/>
      <c r="B39" s="1"/>
    </row>
    <row r="40" spans="1:6" ht="15.75" x14ac:dyDescent="0.25">
      <c r="A40" s="1"/>
      <c r="B40" s="1"/>
    </row>
    <row r="41" spans="1:6" ht="15.75" x14ac:dyDescent="0.25">
      <c r="A41" s="1"/>
      <c r="B41" s="1"/>
    </row>
    <row r="42" spans="1:6" ht="15.75" x14ac:dyDescent="0.25">
      <c r="A42" s="1"/>
      <c r="B42" s="1"/>
    </row>
  </sheetData>
  <pageMargins left="0.7" right="0.7" top="0.78740157499999996" bottom="0.78740157499999996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4943D492E583646B979344186D5D669" ma:contentTypeVersion="24" ma:contentTypeDescription="Ein neues Dokument erstellen." ma:contentTypeScope="" ma:versionID="2ac88b64c152bc2039aad9b2857e85a7">
  <xsd:schema xmlns:xsd="http://www.w3.org/2001/XMLSchema" xmlns:xs="http://www.w3.org/2001/XMLSchema" xmlns:p="http://schemas.microsoft.com/office/2006/metadata/properties" xmlns:ns2="b456acc6-dc1d-457d-b4fb-fd2fc2caeddc" xmlns:ns3="f052e022-8853-489c-a52c-8a5e53f72d05" targetNamespace="http://schemas.microsoft.com/office/2006/metadata/properties" ma:root="true" ma:fieldsID="5ab77c4ba33f01ff9488116fbc1eb466" ns2:_="" ns3:_="">
    <xsd:import namespace="b456acc6-dc1d-457d-b4fb-fd2fc2caeddc"/>
    <xsd:import namespace="f052e022-8853-489c-a52c-8a5e53f72d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56acc6-dc1d-457d-b4fb-fd2fc2caed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Bildmarkierungen" ma:readOnly="false" ma:fieldId="{5cf76f15-5ced-4ddc-b409-7134ff3c332f}" ma:taxonomyMulti="true" ma:sspId="8bc0505f-9040-4c2e-800a-577fa18b03f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52e022-8853-489c-a52c-8a5e53f72d0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e1667786-880a-42fb-942f-837a77a65780}" ma:internalName="TaxCatchAll" ma:showField="CatchAllData" ma:web="f052e022-8853-489c-a52c-8a5e53f72d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052e022-8853-489c-a52c-8a5e53f72d05" xsi:nil="true"/>
    <lcf76f155ced4ddcb4097134ff3c332f xmlns="b456acc6-dc1d-457d-b4fb-fd2fc2caedd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27D9350-E293-4CDA-ADAA-58905EA16A6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AED428A-40BD-486A-B76E-A06B55E1D1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456acc6-dc1d-457d-b4fb-fd2fc2caeddc"/>
    <ds:schemaRef ds:uri="f052e022-8853-489c-a52c-8a5e53f72d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1032852-201C-4D47-9290-CCA39546319F}">
  <ds:schemaRefs>
    <ds:schemaRef ds:uri="http://schemas.microsoft.com/office/2006/documentManagement/types"/>
    <ds:schemaRef ds:uri="f052e022-8853-489c-a52c-8a5e53f72d05"/>
    <ds:schemaRef ds:uri="http://purl.org/dc/terms/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b456acc6-dc1d-457d-b4fb-fd2fc2caeddc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Isentropenexponent</vt:lpstr>
      <vt:lpstr>Schallgeschwindigkeit</vt:lpstr>
    </vt:vector>
  </TitlesOfParts>
  <Manager/>
  <Company>Göbler Hirthmotoren GmbH &amp; Co. KG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Feiss, Maximilian</dc:creator>
  <cp:keywords/>
  <dc:description/>
  <cp:lastModifiedBy>Nils Büchau</cp:lastModifiedBy>
  <cp:revision/>
  <dcterms:created xsi:type="dcterms:W3CDTF">2019-08-27T11:27:36Z</dcterms:created>
  <dcterms:modified xsi:type="dcterms:W3CDTF">2025-07-21T12:45:54Z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0x010100A4943D492E583646B979344186D5D669</vt:lpwstr>
  </property>
  <property fmtid="{D5CDD505-2E9C-101B-9397-08002B2CF9AE}" pid="3" name="MediaServiceImageTags">
    <vt:lpwstr/>
  </property>
</Properties>
</file>